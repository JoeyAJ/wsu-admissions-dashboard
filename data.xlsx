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joeyaj/Desktop/Woosong-Apply/Woosong-Apply/"/>
    </mc:Choice>
  </mc:AlternateContent>
  <xr:revisionPtr revIDLastSave="0" documentId="13_ncr:1_{88431D24-3EF9-774A-AA4E-A6E83DFE7AFC}" xr6:coauthVersionLast="47" xr6:coauthVersionMax="47" xr10:uidLastSave="{00000000-0000-0000-0000-000000000000}"/>
  <bookViews>
    <workbookView xWindow="4420" yWindow="660" windowWidth="25820" windowHeight="15800" activeTab="4" xr2:uid="{00000000-000D-0000-FFFF-FFFF00000000}"/>
  </bookViews>
  <sheets>
    <sheet name="Claude Log" sheetId="5" r:id="rId1"/>
    <sheet name="📖 使用说明" sheetId="1" r:id="rId2"/>
    <sheet name="【学部】周报月报" sheetId="2" r:id="rId3"/>
    <sheet name="【大学院】周报月报" sheetId="3" r:id="rId4"/>
    <sheet name="【SolBridge】周报月报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5" l="1"/>
  <c r="N7" i="4"/>
  <c r="D7" i="4"/>
  <c r="N6" i="4"/>
  <c r="D6" i="4"/>
  <c r="N5" i="4"/>
  <c r="D5" i="4"/>
  <c r="N4" i="4"/>
  <c r="D4" i="4"/>
  <c r="P10" i="3"/>
  <c r="D10" i="3"/>
  <c r="P9" i="3"/>
  <c r="D9" i="3"/>
  <c r="P8" i="3"/>
  <c r="D8" i="3"/>
  <c r="P7" i="3"/>
  <c r="D7" i="3"/>
  <c r="P6" i="3"/>
  <c r="D6" i="3"/>
  <c r="P5" i="3"/>
  <c r="D5" i="3"/>
  <c r="P4" i="3"/>
  <c r="D4" i="3"/>
  <c r="P18" i="2"/>
  <c r="D18" i="2"/>
  <c r="P17" i="2"/>
  <c r="D17" i="2"/>
  <c r="P16" i="2"/>
  <c r="D16" i="2"/>
  <c r="P15" i="2"/>
  <c r="D15" i="2"/>
  <c r="P14" i="2"/>
  <c r="D14" i="2"/>
  <c r="P13" i="2"/>
  <c r="D13" i="2"/>
  <c r="P12" i="2"/>
  <c r="D12" i="2"/>
  <c r="P11" i="2"/>
  <c r="D11" i="2"/>
  <c r="P10" i="2"/>
  <c r="D10" i="2"/>
  <c r="P9" i="2"/>
  <c r="D9" i="2"/>
  <c r="P8" i="2"/>
  <c r="D8" i="2"/>
  <c r="P7" i="2"/>
  <c r="D7" i="2"/>
  <c r="P6" i="2"/>
  <c r="D6" i="2"/>
  <c r="P5" i="2"/>
  <c r="D5" i="2"/>
  <c r="P4" i="2"/>
  <c r="D4" i="2"/>
  <c r="B10" i="5"/>
  <c r="B9" i="5"/>
  <c r="B8" i="5"/>
</calcChain>
</file>

<file path=xl/sharedStrings.xml><?xml version="1.0" encoding="utf-8"?>
<sst xmlns="http://schemas.openxmlformats.org/spreadsheetml/2006/main" count="293" uniqueCount="129">
  <si>
    <t>又松大学招生系统 - 使用说明</t>
  </si>
  <si>
    <t>数据填写说明：</t>
  </si>
  <si>
    <t>1. 填写【学部】【大学院】【SolBridge】三个Sheet</t>
  </si>
  <si>
    <t>2. 时间维度：统计年度、学期、周次/月份、数据基准日期</t>
  </si>
  <si>
    <t>3. 维度信息：</t>
  </si>
  <si>
    <t xml:space="preserve">   - 学部：申请学院 | 申请专业 | 申请类型(编入/新生/交换) | 授课语言(英/韩)</t>
  </si>
  <si>
    <t xml:space="preserve">   - 大学院：申请学院 | 申请学科 | 学位(硕士/博士)</t>
  </si>
  <si>
    <t xml:space="preserve">   - SolBridge：专业 | 申请类型(新生/交换) | 授课语言(英文)</t>
  </si>
  <si>
    <t>4. 招生漏斗数据：询问、申请、面试、录取、通知、缴费、标入、入学</t>
  </si>
  <si>
    <t>5. 状态映射：</t>
  </si>
  <si>
    <t xml:space="preserve">   - 申请 = 提交申请人数</t>
  </si>
  <si>
    <t xml:space="preserve">   - 面试 = 参加面试人数</t>
  </si>
  <si>
    <t xml:space="preserve">   - 录取 = 校内起案人数</t>
  </si>
  <si>
    <t xml:space="preserve">   - 通知 = 发缴费通知人数</t>
  </si>
  <si>
    <t xml:space="preserve">   - 标入 = 发标准入学通知人数</t>
  </si>
  <si>
    <t xml:space="preserve">   - 入学 = 最终入学人数</t>
  </si>
  <si>
    <t>每周或月底更新一次数据，Dashboard会自动读取并生成报表。</t>
  </si>
  <si>
    <t>学部（本科）招生数据</t>
  </si>
  <si>
    <t>统计年度</t>
  </si>
  <si>
    <t>学期</t>
  </si>
  <si>
    <t>周次</t>
  </si>
  <si>
    <t>数据基准日期</t>
  </si>
  <si>
    <t>申请学院</t>
  </si>
  <si>
    <t>申请专业</t>
  </si>
  <si>
    <t>申请类型</t>
  </si>
  <si>
    <t>授课语言</t>
  </si>
  <si>
    <t>申请</t>
  </si>
  <si>
    <t>面试</t>
  </si>
  <si>
    <t>录取</t>
  </si>
  <si>
    <t>通知</t>
  </si>
  <si>
    <t>缴费</t>
  </si>
  <si>
    <t>标入</t>
  </si>
  <si>
    <t>备注</t>
  </si>
  <si>
    <t>大学院（研究生）招生数据</t>
  </si>
  <si>
    <t>申请学科</t>
  </si>
  <si>
    <t>学位</t>
  </si>
  <si>
    <t>SolBridge国际商学院招生数据</t>
  </si>
  <si>
    <t>专业</t>
  </si>
  <si>
    <t>2026-2 秋季学期</t>
  </si>
  <si>
    <t>교환</t>
  </si>
  <si>
    <t>영어</t>
  </si>
  <si>
    <t>신입</t>
  </si>
  <si>
    <t>Endicott 국제대학</t>
  </si>
  <si>
    <t>한국어</t>
  </si>
  <si>
    <t>편입</t>
  </si>
  <si>
    <t>未填写</t>
  </si>
  <si>
    <t>소프트웨어융합대학</t>
  </si>
  <si>
    <t>외식조리학부</t>
  </si>
  <si>
    <t>제과제빵·조리전공</t>
  </si>
  <si>
    <t>철도대학</t>
  </si>
  <si>
    <t>철도전기시스템전공</t>
  </si>
  <si>
    <t>Culture-Technology융합대학원</t>
  </si>
  <si>
    <t>컴퓨터·미디어융합학과 AI·컴퓨터사이언스 전공</t>
  </si>
  <si>
    <t>硕士</t>
  </si>
  <si>
    <t>일반대학원</t>
  </si>
  <si>
    <t>博士</t>
  </si>
  <si>
    <t>BBA</t>
  </si>
  <si>
    <t>Business Administration (Marketing)</t>
  </si>
  <si>
    <t>Ph.d in Global Management</t>
  </si>
  <si>
    <t>2026-2 学期</t>
  </si>
  <si>
    <t xml:space="preserve">   - 缴费 = 学费缴纳</t>
    <phoneticPr fontId="5" type="noConversion"/>
  </si>
  <si>
    <t>경영 전공</t>
  </si>
  <si>
    <t>AI경영 전공</t>
  </si>
  <si>
    <t>글로벌미디어영상학과</t>
  </si>
  <si>
    <t>Study Abroad</t>
  </si>
  <si>
    <t>철도 대학</t>
  </si>
  <si>
    <t>철도경영학과</t>
  </si>
  <si>
    <t>Turn #</t>
  </si>
  <si>
    <t>Date</t>
  </si>
  <si>
    <t>User Request</t>
  </si>
  <si>
    <t>Action Taken</t>
  </si>
  <si>
    <t>Details</t>
  </si>
  <si>
    <t>Outcome</t>
  </si>
  <si>
    <t>将动态0605.xlsx中学部/大学院/SolBridge的申请人明细，按维度汇总录入三张周报月报漏斗表。</t>
  </si>
  <si>
    <t>重建三张目标表的汇总数据</t>
  </si>
  <si>
    <t>学部按(学院,专业,类型,语言)汇总成14组(申请合计27)；大学院4组、SolBridge4组。面试=面试时间非空人数(学部计10，大学院/SolBridge无该列故=0)；录取/通知/缴费/标入按对应☑统计(现均为0)；询问&amp;入学无来源=0。基准日期更新为2026-06-05。</t>
  </si>
  <si>
    <t>已写入【学部】周报月报 A4:Q17、【大学院】A4:P7、【SolBridge】A4:O7。</t>
  </si>
  <si>
    <t>用户指出大学院申请人数应为12名，而非7名。</t>
  </si>
  <si>
    <t>修正大学院申请列计数</t>
  </si>
  <si>
    <t>上一轮仅更新了基准日期与面试列，未覆盖申请(I)列的旧值(2/1/1/3=7)。现按源表实际分组改为 3/1/1/7。</t>
  </si>
  <si>
    <t>【大学院】周报月报 I4:I7 合计=12，与源表一致。</t>
  </si>
  <si>
    <t>在大学院sheet增加授课语言列，按动态0605填写。</t>
  </si>
  <si>
    <t>新增授课语言列并填值</t>
  </si>
  <si>
    <t>在学位(G)与询问之间插入H列「授课语言」，按源表트랙列填：AI경영코스硕士=한국어、ManagementStudies博士=영어、영어트랙硕士=영어、CT융합硕士=한국어。</t>
  </si>
  <si>
    <t>【大学院】周报月报 H列已填，4组语言均无混合。</t>
  </si>
  <si>
    <t>取消</t>
  </si>
  <si>
    <t>三张表在标入后增加取消列，入学=申请-取消。</t>
  </si>
  <si>
    <t>新增取消列并将入学改为公式</t>
  </si>
  <si>
    <t>学部取消=P入学=Q(=J-P)备注R；大学院取消=P入学=Q(=J-P)备注R；SolBridge取消=N入学=O(=H-N)备注P。源表无取消数据，取消暂为0故入学=申请。</t>
  </si>
  <si>
    <t>三表入学列已改为动态公式，随取消列自动重算。</t>
  </si>
  <si>
    <t>询问每周如何下prompt更新data表，并确认data表是动态表的分类统计。</t>
  </si>
  <si>
    <t>解释更新流程并提供prompt模板</t>
  </si>
  <si>
    <t>确认data=动态表按维度分组汇总。说明无需指定起始行，上传整张动态表即可重算。提供了完整版与最简版prompt模板。</t>
  </si>
  <si>
    <t>已答复；建议可将规则存为可复用技能。</t>
  </si>
  <si>
    <t>用户确认取消统计规则=动态表取消列标☑的人数。</t>
  </si>
  <si>
    <t>确认取消列统计规则</t>
  </si>
  <si>
    <t>检查当前动态0605.xlsx发现尚无取消列(学部止于L标入/大学院N/SolBridge J)。约定:取消=组内取消列☑人数,入学=申请-取消(公式已就位)。</t>
  </si>
  <si>
    <t>规则已确认;待用户上传含取消列的动态表后套用。当前取消仍为0。</t>
  </si>
  <si>
    <t>预计入学</t>
    <phoneticPr fontId="5" type="noConversion"/>
  </si>
  <si>
    <t>实际入学</t>
    <phoneticPr fontId="5" type="noConversion"/>
  </si>
  <si>
    <t>컴퓨터공학전공</t>
  </si>
  <si>
    <t>자유전공</t>
  </si>
  <si>
    <t>컴퓨터·미디어융합학과 미디어·게임·영상융합전공(미디어·영상융합코스)</t>
  </si>
  <si>
    <t>上传新动态表0605，调用 dongtai-weekly-report 技能刷新三张周报月报表。</t>
  </si>
  <si>
    <t>读全表重新分组统计并重写三张目标表</t>
  </si>
  <si>
    <t>学部据(学院,专业,类型,语言)分成16组(申请28)；大学院据(学院,学科,学位,语言)5组(申请14)；SolBridge据(专业,类型)4组(申请4)。面试=面试时间非空(学部12/大学院6/SB0)；取消无源=0，入学=申请-取消公式。基准日期2026-06-05第23周。注：首次copyToRange误覆盖E-O列，已逐行重写修复。</t>
  </si>
  <si>
    <t>【学部】A4:R19、【大学院】A4:R8、【SolBridge】A4:P7已刷新；合计28/14/4与源表一致，无错误值。</t>
  </si>
  <si>
    <t>截图显示大学院新增一名申请人（No.15 王博策 WANG BOCE），要求计入汇总。</t>
  </si>
  <si>
    <t>将对应组申请人数+1</t>
  </si>
  <si>
    <t>王博策=硕士/일반대학원/AI경영학과 AI경영학전공 AI경영학코스/한국어，归入现有组（行4）。截图无面试时间、各阶段未勾选，故仅申请+1，其余不变。</t>
  </si>
  <si>
    <t>【大学院】I4 申请 8→9，预计入学随公式自动为9；大学院申请合计=15。</t>
  </si>
  <si>
    <t>要求将三表所有行的周次按今天基准更新。</t>
  </si>
  <si>
    <t>更新三表周次与基准日期</t>
  </si>
  <si>
    <t>今天=2026-06-08，ISO第24周。将C列周次由「第23周」改为「第24周」，D列基准日期公式改为=DATE(2026,6,8)。范围：学部4-19、大学院4-8、SolBridge4-7。</t>
  </si>
  <si>
    <t>三表数据行周次均为第24周，基准日期为2026-06-08。</t>
  </si>
  <si>
    <t>第24周</t>
  </si>
  <si>
    <t>询问数未在动态表中统计；面试按面试时间非空人数统计；入学=申请−取消。</t>
  </si>
  <si>
    <t>외식조리대학</t>
  </si>
  <si>
    <t>글로벌조리전공</t>
  </si>
  <si>
    <t>JCFS미래대학</t>
  </si>
  <si>
    <t>휴먼디지털인터페이스(HADI)</t>
  </si>
  <si>
    <t>AI경영학과 AI경영전공 AI경영학코스</t>
  </si>
  <si>
    <t>AI경영학과 AI경영전공  Management Studies</t>
  </si>
  <si>
    <t>AI경영학과 AI경영전공 AI경영학_영어트랙</t>
  </si>
  <si>
    <t>AI경영학과 AI경영전공 철도경영학코스</t>
  </si>
  <si>
    <t>上传动态0612.xlsx，调用 /dongtai-weekly-report刷新三张周报月报表，周次与基准日期按今天。</t>
  </si>
  <si>
    <t>读全表重新分组统计并覆写三张目标表</t>
  </si>
  <si>
    <t>动态表：学部32人/大学院18人/SolBridge 4人。学部戕6组、5组、大学院77组、SolBridge 4组。取消按动态表M列(SolBridge J)☑统计均=0。基准日期=DATE(2026,6,12)，周次=第24周(ISO)。</t>
  </si>
  <si>
    <t>【学部】A4:R18、【大学院】A4:R10、【SolBridge】A4:P7 已刷新；申请合计 32/18/4 与源表一致，预计入学公式求值正确。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</si>
</sst>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8">
    <font>
      <sz val="11"/>
      <color theme="1"/>
      <name val="新細明體"/>
    </font>
    <font>
      <b/>
      <sz val="14"/>
      <color rgb="FFFFFFFF"/>
      <name val="新細明體"/>
      <family val="1"/>
      <charset val="136"/>
    </font>
    <font>
      <b/>
      <sz val="10"/>
      <color rgb="FFFFFFFF"/>
      <name val="新細明體"/>
      <family val="1"/>
      <charset val="136"/>
    </font>
    <font>
      <sz val="10"/>
      <color theme="1"/>
      <name val="新細明體"/>
      <family val="1"/>
      <charset val="136"/>
    </font>
    <font>
      <b/>
      <sz val="14"/>
      <color rgb="FF1F4E79"/>
      <name val="新細明體"/>
      <family val="1"/>
      <charset val="136"/>
    </font>
    <font>
      <sz val="9"/>
      <name val="Wawati TC"/>
      <family val="3"/>
      <charset val="136"/>
    </font>
    <font>
      <sz val="11"/>
      <color theme="1"/>
      <name val="新細明體"/>
      <family val="1"/>
      <charset val="136"/>
    </font>
    <font>
      <b/>
      <sz val="11"/>
      <color theme="1"/>
      <name val="新細明體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C5504D"/>
      </patternFill>
    </fill>
    <fill>
      <patternFill patternType="solid">
        <fgColor rgb="FF1F4E79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2" fillId="5" borderId="7" xfId="0" applyFont="1" applyFill="1" applyBorder="1" applyAlignment="1">
      <alignment horizontal="center" vertical="center" wrapText="1"/>
    </xf>
    <xf numFmtId="0" fontId="2" fillId="5" borderId="8" xfId="0" applyFont="1" applyFill="1" applyBorder="1" applyAlignment="1">
      <alignment horizontal="center" vertical="center" wrapText="1"/>
    </xf>
    <xf numFmtId="0" fontId="2" fillId="5" borderId="9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6" fillId="0" borderId="0" xfId="0" applyFont="1" applyAlignment="1">
      <alignment wrapText="1"/>
    </xf>
    <xf numFmtId="0" fontId="7" fillId="0" borderId="0" xfId="0" applyFont="1"/>
    <xf numFmtId="14" fontId="0" fillId="0" borderId="0" xfId="0" applyNumberFormat="1"/>
    <xf numFmtId="176" fontId="3" fillId="0" borderId="3" xfId="0" applyNumberFormat="1" applyFont="1" applyBorder="1" applyAlignment="1">
      <alignment vertical="center" wrapText="1"/>
    </xf>
    <xf numFmtId="176" fontId="3" fillId="0" borderId="5" xfId="0" applyNumberFormat="1" applyFont="1" applyBorder="1" applyAlignment="1">
      <alignment vertical="center" wrapText="1"/>
    </xf>
    <xf numFmtId="176" fontId="0" fillId="0" borderId="0" xfId="0" applyNumberFormat="1"/>
    <xf numFmtId="0" fontId="4" fillId="2" borderId="0" xfId="0" applyFont="1" applyFill="1"/>
    <xf numFmtId="0" fontId="0" fillId="0" borderId="0" xfId="0"/>
    <xf numFmtId="0" fontId="1" fillId="2" borderId="0" xfId="0" applyFont="1" applyFill="1"/>
    <xf numFmtId="0" fontId="4" fillId="3" borderId="0" xfId="0" applyFont="1" applyFill="1"/>
    <xf numFmtId="0" fontId="4" fillId="4" borderId="0" xfId="0" applyFont="1" applyFill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FB5A01C-5A93-C445-832C-F0B78E49CAF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c532536-ea39-4b3e-b295-21def476e8b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CB936-C75A-7447-9910-9C93B26D3435}">
  <dimension ref="A1:F11"/>
  <sheetViews>
    <sheetView workbookViewId="0"/>
  </sheetViews>
  <sheetFormatPr baseColWidth="10" defaultRowHeight="14"/>
  <cols>
    <col min="3" max="3" width="103.796875" bestFit="1" customWidth="1"/>
    <col min="4" max="4" width="33.59765625" bestFit="1" customWidth="1"/>
    <col min="5" max="5" width="256" bestFit="1" customWidth="1"/>
  </cols>
  <sheetData>
    <row r="1" spans="1:6">
      <c r="A1" s="12" t="s">
        <v>67</v>
      </c>
      <c r="B1" s="12" t="s">
        <v>68</v>
      </c>
      <c r="C1" s="12" t="s">
        <v>69</v>
      </c>
      <c r="D1" s="12" t="s">
        <v>70</v>
      </c>
      <c r="E1" s="12" t="s">
        <v>71</v>
      </c>
      <c r="F1" s="12" t="s">
        <v>72</v>
      </c>
    </row>
    <row r="2" spans="1:6">
      <c r="A2">
        <v>1</v>
      </c>
      <c r="B2" s="13">
        <v>46178</v>
      </c>
      <c r="C2" t="s">
        <v>73</v>
      </c>
      <c r="D2" t="s">
        <v>74</v>
      </c>
      <c r="E2" t="s">
        <v>75</v>
      </c>
      <c r="F2" t="s">
        <v>76</v>
      </c>
    </row>
    <row r="3" spans="1:6">
      <c r="A3">
        <v>2</v>
      </c>
      <c r="B3" s="13">
        <v>46178</v>
      </c>
      <c r="C3" t="s">
        <v>77</v>
      </c>
      <c r="D3" t="s">
        <v>78</v>
      </c>
      <c r="E3" t="s">
        <v>79</v>
      </c>
      <c r="F3" t="s">
        <v>80</v>
      </c>
    </row>
    <row r="4" spans="1:6">
      <c r="A4">
        <v>3</v>
      </c>
      <c r="B4" s="13">
        <v>46178</v>
      </c>
      <c r="C4" t="s">
        <v>81</v>
      </c>
      <c r="D4" t="s">
        <v>82</v>
      </c>
      <c r="E4" t="s">
        <v>83</v>
      </c>
      <c r="F4" t="s">
        <v>84</v>
      </c>
    </row>
    <row r="5" spans="1:6">
      <c r="A5">
        <v>4</v>
      </c>
      <c r="B5" s="13">
        <v>46178</v>
      </c>
      <c r="C5" t="s">
        <v>86</v>
      </c>
      <c r="D5" t="s">
        <v>87</v>
      </c>
      <c r="E5" t="s">
        <v>88</v>
      </c>
      <c r="F5" t="s">
        <v>89</v>
      </c>
    </row>
    <row r="6" spans="1:6">
      <c r="A6">
        <v>5</v>
      </c>
      <c r="B6" s="13">
        <v>46178</v>
      </c>
      <c r="C6" t="s">
        <v>90</v>
      </c>
      <c r="D6" t="s">
        <v>91</v>
      </c>
      <c r="E6" t="s">
        <v>92</v>
      </c>
      <c r="F6" t="s">
        <v>93</v>
      </c>
    </row>
    <row r="7" spans="1:6">
      <c r="A7">
        <v>6</v>
      </c>
      <c r="B7" s="13">
        <v>46178</v>
      </c>
      <c r="C7" t="s">
        <v>94</v>
      </c>
      <c r="D7" t="s">
        <v>95</v>
      </c>
      <c r="E7" t="s">
        <v>96</v>
      </c>
      <c r="F7" t="s">
        <v>97</v>
      </c>
    </row>
    <row r="8" spans="1:6">
      <c r="A8">
        <v>7</v>
      </c>
      <c r="B8" s="16">
        <f>DATE(2026,6,8)</f>
        <v>46181</v>
      </c>
      <c r="C8" t="s">
        <v>103</v>
      </c>
      <c r="D8" t="s">
        <v>104</v>
      </c>
      <c r="E8" t="s">
        <v>105</v>
      </c>
      <c r="F8" t="s">
        <v>106</v>
      </c>
    </row>
    <row r="9" spans="1:6">
      <c r="A9">
        <v>8</v>
      </c>
      <c r="B9" s="16">
        <f>DATE(2026,6,8)</f>
        <v>46181</v>
      </c>
      <c r="C9" t="s">
        <v>107</v>
      </c>
      <c r="D9" t="s">
        <v>108</v>
      </c>
      <c r="E9" t="s">
        <v>109</v>
      </c>
      <c r="F9" t="s">
        <v>110</v>
      </c>
    </row>
    <row r="10" spans="1:6">
      <c r="A10">
        <v>9</v>
      </c>
      <c r="B10" s="16">
        <f>DATE(2026,6,8)</f>
        <v>46181</v>
      </c>
      <c r="C10" t="s">
        <v>111</v>
      </c>
      <c r="D10" t="s">
        <v>112</v>
      </c>
      <c r="E10" t="s">
        <v>113</v>
      </c>
      <c r="F10" t="s">
        <v>114</v>
      </c>
    </row>
    <row r="11" spans="1:6">
      <c r="A11">
        <v>10</v>
      </c>
      <c r="B11" s="16">
        <f>DATE(2026,6,12)</f>
        <v>46185</v>
      </c>
      <c r="C11" t="s">
        <v>125</v>
      </c>
      <c r="D11" t="s">
        <v>126</v>
      </c>
      <c r="E11" t="s">
        <v>127</v>
      </c>
      <c r="F11" t="s">
        <v>128</v>
      </c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workbookViewId="0">
      <selection activeCell="A35" sqref="A35"/>
    </sheetView>
  </sheetViews>
  <sheetFormatPr baseColWidth="10" defaultColWidth="9" defaultRowHeight="14"/>
  <cols>
    <col min="1" max="1" width="80" customWidth="1"/>
  </cols>
  <sheetData>
    <row r="1" spans="1:4" ht="20">
      <c r="A1" s="19" t="s">
        <v>0</v>
      </c>
      <c r="B1" s="18"/>
      <c r="C1" s="18"/>
      <c r="D1" s="18"/>
    </row>
    <row r="2" spans="1:4">
      <c r="A2" t="s">
        <v>1</v>
      </c>
    </row>
    <row r="4" spans="1:4">
      <c r="A4" t="s">
        <v>2</v>
      </c>
    </row>
    <row r="6" spans="1:4">
      <c r="A6" t="s">
        <v>3</v>
      </c>
    </row>
    <row r="8" spans="1:4">
      <c r="A8" t="s">
        <v>4</v>
      </c>
    </row>
    <row r="9" spans="1:4">
      <c r="A9" t="s">
        <v>5</v>
      </c>
    </row>
    <row r="10" spans="1:4">
      <c r="A10" t="s">
        <v>6</v>
      </c>
    </row>
    <row r="11" spans="1:4">
      <c r="A11" t="s">
        <v>7</v>
      </c>
    </row>
    <row r="13" spans="1:4">
      <c r="A13" t="s">
        <v>8</v>
      </c>
    </row>
    <row r="15" spans="1:4">
      <c r="A15" t="s">
        <v>9</v>
      </c>
    </row>
    <row r="16" spans="1:4">
      <c r="A16" t="s">
        <v>10</v>
      </c>
    </row>
    <row r="17" spans="1:1">
      <c r="A17" t="s">
        <v>11</v>
      </c>
    </row>
    <row r="18" spans="1:1">
      <c r="A18" t="s">
        <v>12</v>
      </c>
    </row>
    <row r="19" spans="1:1">
      <c r="A19" t="s">
        <v>13</v>
      </c>
    </row>
    <row r="20" spans="1:1" ht="15">
      <c r="A20" s="11" t="s">
        <v>60</v>
      </c>
    </row>
    <row r="21" spans="1:1">
      <c r="A21" t="s">
        <v>14</v>
      </c>
    </row>
    <row r="22" spans="1:1">
      <c r="A22" t="s">
        <v>15</v>
      </c>
    </row>
    <row r="24" spans="1:1">
      <c r="A24" t="s">
        <v>16</v>
      </c>
    </row>
  </sheetData>
  <mergeCells count="1">
    <mergeCell ref="A1:D1"/>
  </mergeCells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9"/>
  <sheetViews>
    <sheetView topLeftCell="B1" workbookViewId="0">
      <selection activeCell="P4" sqref="P4"/>
    </sheetView>
  </sheetViews>
  <sheetFormatPr baseColWidth="10" defaultColWidth="9" defaultRowHeight="14"/>
  <cols>
    <col min="1" max="1" width="10" hidden="1" customWidth="1"/>
    <col min="2" max="2" width="14.3984375" bestFit="1" customWidth="1"/>
    <col min="3" max="3" width="10" customWidth="1"/>
    <col min="4" max="4" width="14" customWidth="1"/>
    <col min="5" max="5" width="28" customWidth="1"/>
    <col min="6" max="6" width="32" customWidth="1"/>
    <col min="7" max="8" width="12" customWidth="1"/>
    <col min="9" max="17" width="10" customWidth="1"/>
    <col min="18" max="18" width="42" customWidth="1"/>
  </cols>
  <sheetData>
    <row r="1" spans="1:18" ht="20">
      <c r="A1" s="20" t="s">
        <v>17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3" spans="1:18" ht="42.75" customHeight="1">
      <c r="A3" s="7" t="s">
        <v>18</v>
      </c>
      <c r="B3" s="8" t="s">
        <v>19</v>
      </c>
      <c r="C3" s="8" t="s">
        <v>20</v>
      </c>
      <c r="D3" s="8" t="s">
        <v>21</v>
      </c>
      <c r="E3" s="8" t="s">
        <v>22</v>
      </c>
      <c r="F3" s="8" t="s">
        <v>23</v>
      </c>
      <c r="G3" s="8" t="s">
        <v>24</v>
      </c>
      <c r="H3" s="8" t="s">
        <v>25</v>
      </c>
      <c r="I3" s="8" t="s">
        <v>26</v>
      </c>
      <c r="J3" s="8" t="s">
        <v>27</v>
      </c>
      <c r="K3" s="8" t="s">
        <v>28</v>
      </c>
      <c r="L3" s="8" t="s">
        <v>29</v>
      </c>
      <c r="M3" s="8" t="s">
        <v>30</v>
      </c>
      <c r="N3" s="8" t="s">
        <v>31</v>
      </c>
      <c r="O3" s="8" t="s">
        <v>85</v>
      </c>
      <c r="P3" s="8" t="s">
        <v>98</v>
      </c>
      <c r="Q3" s="8" t="s">
        <v>99</v>
      </c>
      <c r="R3" s="9" t="s">
        <v>32</v>
      </c>
    </row>
    <row r="4" spans="1:18" ht="48" customHeight="1">
      <c r="A4" s="2">
        <v>2026</v>
      </c>
      <c r="B4" s="3" t="s">
        <v>59</v>
      </c>
      <c r="C4" s="4" t="s">
        <v>115</v>
      </c>
      <c r="D4" s="14">
        <f t="shared" ref="D4:D18" si="0">DATE(2026,6,12)</f>
        <v>46185</v>
      </c>
      <c r="E4" s="4" t="s">
        <v>42</v>
      </c>
      <c r="F4" s="4" t="s">
        <v>61</v>
      </c>
      <c r="G4" s="4" t="s">
        <v>44</v>
      </c>
      <c r="H4" s="4" t="s">
        <v>43</v>
      </c>
      <c r="I4" s="4">
        <v>4</v>
      </c>
      <c r="J4" s="4">
        <v>2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f t="shared" ref="P4:P18" si="1">I4-O4</f>
        <v>4</v>
      </c>
      <c r="Q4" s="6"/>
      <c r="R4" s="5" t="s">
        <v>116</v>
      </c>
    </row>
    <row r="5" spans="1:18" ht="48" customHeight="1">
      <c r="A5" s="2">
        <v>2026</v>
      </c>
      <c r="B5" s="3" t="s">
        <v>59</v>
      </c>
      <c r="C5" s="4" t="s">
        <v>115</v>
      </c>
      <c r="D5" s="14">
        <f t="shared" si="0"/>
        <v>46185</v>
      </c>
      <c r="E5" s="4" t="s">
        <v>46</v>
      </c>
      <c r="F5" s="4" t="s">
        <v>63</v>
      </c>
      <c r="G5" s="4" t="s">
        <v>41</v>
      </c>
      <c r="H5" s="4" t="s">
        <v>40</v>
      </c>
      <c r="I5" s="4">
        <v>1</v>
      </c>
      <c r="J5" s="4">
        <v>1</v>
      </c>
      <c r="K5" s="4">
        <v>1</v>
      </c>
      <c r="L5" s="4">
        <v>0</v>
      </c>
      <c r="M5" s="4">
        <v>0</v>
      </c>
      <c r="N5" s="4">
        <v>0</v>
      </c>
      <c r="O5" s="4">
        <v>0</v>
      </c>
      <c r="P5" s="4">
        <f t="shared" si="1"/>
        <v>1</v>
      </c>
      <c r="Q5" s="6"/>
      <c r="R5" s="5" t="s">
        <v>116</v>
      </c>
    </row>
    <row r="6" spans="1:18" ht="48" customHeight="1">
      <c r="A6" s="2">
        <v>2026</v>
      </c>
      <c r="B6" s="3" t="s">
        <v>59</v>
      </c>
      <c r="C6" s="4" t="s">
        <v>115</v>
      </c>
      <c r="D6" s="14">
        <f t="shared" si="0"/>
        <v>46185</v>
      </c>
      <c r="E6" s="4" t="s">
        <v>46</v>
      </c>
      <c r="F6" s="4" t="s">
        <v>63</v>
      </c>
      <c r="G6" s="4" t="s">
        <v>39</v>
      </c>
      <c r="H6" s="4" t="s">
        <v>40</v>
      </c>
      <c r="I6" s="4">
        <v>4</v>
      </c>
      <c r="J6" s="4">
        <v>2</v>
      </c>
      <c r="K6" s="4">
        <v>2</v>
      </c>
      <c r="L6" s="4">
        <v>0</v>
      </c>
      <c r="M6" s="4">
        <v>0</v>
      </c>
      <c r="N6" s="4">
        <v>0</v>
      </c>
      <c r="O6" s="4">
        <v>0</v>
      </c>
      <c r="P6" s="4">
        <f t="shared" si="1"/>
        <v>4</v>
      </c>
      <c r="Q6" s="6"/>
      <c r="R6" s="5" t="s">
        <v>116</v>
      </c>
    </row>
    <row r="7" spans="1:18" ht="48" customHeight="1">
      <c r="A7" s="2">
        <v>2026</v>
      </c>
      <c r="B7" s="3" t="s">
        <v>59</v>
      </c>
      <c r="C7" s="4" t="s">
        <v>115</v>
      </c>
      <c r="D7" s="14">
        <f t="shared" si="0"/>
        <v>46185</v>
      </c>
      <c r="E7" s="4" t="s">
        <v>117</v>
      </c>
      <c r="F7" s="4" t="s">
        <v>118</v>
      </c>
      <c r="G7" s="4" t="s">
        <v>39</v>
      </c>
      <c r="H7" s="4" t="s">
        <v>40</v>
      </c>
      <c r="I7" s="4">
        <v>4</v>
      </c>
      <c r="J7" s="4">
        <v>4</v>
      </c>
      <c r="K7" s="4">
        <v>4</v>
      </c>
      <c r="L7" s="4">
        <v>0</v>
      </c>
      <c r="M7" s="4">
        <v>0</v>
      </c>
      <c r="N7" s="4">
        <v>0</v>
      </c>
      <c r="O7" s="4">
        <v>0</v>
      </c>
      <c r="P7" s="4">
        <f t="shared" si="1"/>
        <v>4</v>
      </c>
      <c r="Q7" s="6"/>
      <c r="R7" s="5" t="s">
        <v>116</v>
      </c>
    </row>
    <row r="8" spans="1:18" ht="48" customHeight="1">
      <c r="A8" s="2">
        <v>2026</v>
      </c>
      <c r="B8" s="3" t="s">
        <v>59</v>
      </c>
      <c r="C8" s="4" t="s">
        <v>115</v>
      </c>
      <c r="D8" s="14">
        <f t="shared" si="0"/>
        <v>46185</v>
      </c>
      <c r="E8" s="4" t="s">
        <v>119</v>
      </c>
      <c r="F8" s="4" t="s">
        <v>120</v>
      </c>
      <c r="G8" s="4" t="s">
        <v>45</v>
      </c>
      <c r="H8" s="4" t="s">
        <v>45</v>
      </c>
      <c r="I8" s="4">
        <v>1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f t="shared" si="1"/>
        <v>1</v>
      </c>
      <c r="Q8" s="6"/>
      <c r="R8" s="5" t="s">
        <v>116</v>
      </c>
    </row>
    <row r="9" spans="1:18" ht="48" customHeight="1">
      <c r="A9" s="2">
        <v>2026</v>
      </c>
      <c r="B9" s="3" t="s">
        <v>59</v>
      </c>
      <c r="C9" s="4" t="s">
        <v>115</v>
      </c>
      <c r="D9" s="14">
        <f t="shared" si="0"/>
        <v>46185</v>
      </c>
      <c r="E9" s="4" t="s">
        <v>49</v>
      </c>
      <c r="F9" s="4" t="s">
        <v>50</v>
      </c>
      <c r="G9" s="4" t="s">
        <v>44</v>
      </c>
      <c r="H9" s="4" t="s">
        <v>43</v>
      </c>
      <c r="I9" s="4">
        <v>1</v>
      </c>
      <c r="J9" s="4">
        <v>1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f t="shared" si="1"/>
        <v>1</v>
      </c>
      <c r="Q9" s="6"/>
      <c r="R9" s="5" t="s">
        <v>116</v>
      </c>
    </row>
    <row r="10" spans="1:18" ht="48" customHeight="1">
      <c r="A10" s="2">
        <v>2026</v>
      </c>
      <c r="B10" s="3" t="s">
        <v>59</v>
      </c>
      <c r="C10" s="4" t="s">
        <v>115</v>
      </c>
      <c r="D10" s="14">
        <f t="shared" si="0"/>
        <v>46185</v>
      </c>
      <c r="E10" s="4" t="s">
        <v>42</v>
      </c>
      <c r="F10" s="4" t="s">
        <v>62</v>
      </c>
      <c r="G10" s="4" t="s">
        <v>39</v>
      </c>
      <c r="H10" s="4" t="s">
        <v>43</v>
      </c>
      <c r="I10" s="4">
        <v>1</v>
      </c>
      <c r="J10" s="4">
        <v>1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f t="shared" si="1"/>
        <v>1</v>
      </c>
      <c r="Q10" s="6"/>
      <c r="R10" s="5" t="s">
        <v>116</v>
      </c>
    </row>
    <row r="11" spans="1:18" ht="48" customHeight="1">
      <c r="A11" s="2">
        <v>2026</v>
      </c>
      <c r="B11" s="3" t="s">
        <v>59</v>
      </c>
      <c r="C11" s="4" t="s">
        <v>115</v>
      </c>
      <c r="D11" s="14">
        <f t="shared" si="0"/>
        <v>46185</v>
      </c>
      <c r="E11" s="4" t="s">
        <v>47</v>
      </c>
      <c r="F11" s="4" t="s">
        <v>48</v>
      </c>
      <c r="G11" s="4" t="s">
        <v>41</v>
      </c>
      <c r="H11" s="4" t="s">
        <v>43</v>
      </c>
      <c r="I11" s="4">
        <v>1</v>
      </c>
      <c r="J11" s="4">
        <v>1</v>
      </c>
      <c r="K11" s="4">
        <v>1</v>
      </c>
      <c r="L11" s="4">
        <v>0</v>
      </c>
      <c r="M11" s="4">
        <v>0</v>
      </c>
      <c r="N11" s="4">
        <v>0</v>
      </c>
      <c r="O11" s="4">
        <v>0</v>
      </c>
      <c r="P11" s="4">
        <f t="shared" si="1"/>
        <v>1</v>
      </c>
      <c r="Q11" s="6"/>
      <c r="R11" s="5" t="s">
        <v>116</v>
      </c>
    </row>
    <row r="12" spans="1:18" ht="48" customHeight="1">
      <c r="A12" s="2">
        <v>2026</v>
      </c>
      <c r="B12" s="3" t="s">
        <v>59</v>
      </c>
      <c r="C12" s="4" t="s">
        <v>115</v>
      </c>
      <c r="D12" s="14">
        <f t="shared" si="0"/>
        <v>46185</v>
      </c>
      <c r="E12" s="4" t="s">
        <v>46</v>
      </c>
      <c r="F12" s="4" t="s">
        <v>63</v>
      </c>
      <c r="G12" s="4" t="s">
        <v>44</v>
      </c>
      <c r="H12" s="4" t="s">
        <v>40</v>
      </c>
      <c r="I12" s="4">
        <v>1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f t="shared" si="1"/>
        <v>1</v>
      </c>
      <c r="Q12" s="6"/>
      <c r="R12" s="5" t="s">
        <v>116</v>
      </c>
    </row>
    <row r="13" spans="1:18" ht="48" customHeight="1">
      <c r="A13" s="2">
        <v>2026</v>
      </c>
      <c r="B13" s="3" t="s">
        <v>59</v>
      </c>
      <c r="C13" s="4" t="s">
        <v>115</v>
      </c>
      <c r="D13" s="14">
        <f t="shared" si="0"/>
        <v>46185</v>
      </c>
      <c r="E13" s="4" t="s">
        <v>42</v>
      </c>
      <c r="F13" s="4" t="s">
        <v>61</v>
      </c>
      <c r="G13" s="4" t="s">
        <v>64</v>
      </c>
      <c r="H13" s="4" t="s">
        <v>43</v>
      </c>
      <c r="I13" s="4">
        <v>3</v>
      </c>
      <c r="J13" s="4">
        <v>3</v>
      </c>
      <c r="K13" s="4">
        <v>3</v>
      </c>
      <c r="L13" s="4">
        <v>0</v>
      </c>
      <c r="M13" s="4">
        <v>0</v>
      </c>
      <c r="N13" s="4">
        <v>0</v>
      </c>
      <c r="O13" s="4">
        <v>0</v>
      </c>
      <c r="P13" s="4">
        <f t="shared" si="1"/>
        <v>3</v>
      </c>
      <c r="Q13" s="6"/>
      <c r="R13" s="5" t="s">
        <v>116</v>
      </c>
    </row>
    <row r="14" spans="1:18" ht="48" customHeight="1">
      <c r="A14" s="2">
        <v>2026</v>
      </c>
      <c r="B14" s="3" t="s">
        <v>59</v>
      </c>
      <c r="C14" s="4" t="s">
        <v>115</v>
      </c>
      <c r="D14" s="14">
        <f t="shared" si="0"/>
        <v>46185</v>
      </c>
      <c r="E14" s="4" t="s">
        <v>65</v>
      </c>
      <c r="F14" s="4" t="s">
        <v>66</v>
      </c>
      <c r="G14" s="4" t="s">
        <v>44</v>
      </c>
      <c r="H14" s="4" t="s">
        <v>43</v>
      </c>
      <c r="I14" s="4">
        <v>1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f t="shared" si="1"/>
        <v>1</v>
      </c>
      <c r="Q14" s="6"/>
      <c r="R14" s="5" t="s">
        <v>116</v>
      </c>
    </row>
    <row r="15" spans="1:18" ht="28">
      <c r="A15" s="2">
        <v>2026</v>
      </c>
      <c r="B15" s="3" t="s">
        <v>59</v>
      </c>
      <c r="C15" s="4" t="s">
        <v>115</v>
      </c>
      <c r="D15" s="14">
        <f t="shared" si="0"/>
        <v>46185</v>
      </c>
      <c r="E15" s="4" t="s">
        <v>45</v>
      </c>
      <c r="F15" s="4" t="s">
        <v>45</v>
      </c>
      <c r="G15" s="4" t="s">
        <v>44</v>
      </c>
      <c r="H15" s="4" t="s">
        <v>45</v>
      </c>
      <c r="I15" s="4">
        <v>3</v>
      </c>
      <c r="J15" s="4">
        <v>1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f t="shared" si="1"/>
        <v>3</v>
      </c>
      <c r="Q15" s="6"/>
      <c r="R15" s="5" t="s">
        <v>116</v>
      </c>
    </row>
    <row r="16" spans="1:18" ht="28">
      <c r="A16" s="2">
        <v>2026</v>
      </c>
      <c r="B16" s="3" t="s">
        <v>59</v>
      </c>
      <c r="C16" s="4" t="s">
        <v>115</v>
      </c>
      <c r="D16" s="14">
        <f t="shared" si="0"/>
        <v>46185</v>
      </c>
      <c r="E16" s="4" t="s">
        <v>46</v>
      </c>
      <c r="F16" s="4" t="s">
        <v>100</v>
      </c>
      <c r="G16" s="4" t="s">
        <v>39</v>
      </c>
      <c r="H16" s="4" t="s">
        <v>43</v>
      </c>
      <c r="I16" s="4">
        <v>1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f t="shared" si="1"/>
        <v>1</v>
      </c>
      <c r="Q16" s="6"/>
      <c r="R16" s="5" t="s">
        <v>116</v>
      </c>
    </row>
    <row r="17" spans="1:18" ht="28">
      <c r="A17" s="2">
        <v>2026</v>
      </c>
      <c r="B17" s="3" t="s">
        <v>59</v>
      </c>
      <c r="C17" s="4" t="s">
        <v>115</v>
      </c>
      <c r="D17" s="14">
        <f t="shared" si="0"/>
        <v>46185</v>
      </c>
      <c r="E17" s="4" t="s">
        <v>45</v>
      </c>
      <c r="F17" s="4" t="s">
        <v>45</v>
      </c>
      <c r="G17" s="4" t="s">
        <v>39</v>
      </c>
      <c r="H17" s="4" t="s">
        <v>45</v>
      </c>
      <c r="I17" s="4">
        <v>5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f t="shared" si="1"/>
        <v>5</v>
      </c>
      <c r="Q17" s="6"/>
      <c r="R17" s="5" t="s">
        <v>116</v>
      </c>
    </row>
    <row r="18" spans="1:18" ht="28">
      <c r="A18" s="2">
        <v>2026</v>
      </c>
      <c r="B18" s="3" t="s">
        <v>59</v>
      </c>
      <c r="C18" s="4" t="s">
        <v>115</v>
      </c>
      <c r="D18" s="14">
        <f t="shared" si="0"/>
        <v>46185</v>
      </c>
      <c r="E18" s="4" t="s">
        <v>101</v>
      </c>
      <c r="F18" s="4" t="s">
        <v>45</v>
      </c>
      <c r="G18" s="4" t="s">
        <v>39</v>
      </c>
      <c r="H18" s="4" t="s">
        <v>43</v>
      </c>
      <c r="I18" s="4">
        <v>1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f t="shared" si="1"/>
        <v>1</v>
      </c>
      <c r="Q18" s="6"/>
      <c r="R18" s="5" t="s">
        <v>116</v>
      </c>
    </row>
    <row r="19" spans="1:18">
      <c r="A19" s="2"/>
      <c r="B19" s="3"/>
      <c r="C19" s="4"/>
      <c r="D19" s="1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6"/>
      <c r="R19" s="5"/>
    </row>
    <row r="20" spans="1:18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1:18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1:18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1:18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spans="1:1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1:18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1:18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spans="1:18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spans="1:18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spans="1:18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spans="1:18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spans="1:18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spans="1:18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spans="1:18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spans="1:1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spans="1:18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spans="1:18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spans="1:18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spans="1:18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spans="1:18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spans="1:18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spans="1:18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spans="1:18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spans="1:18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spans="1:1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spans="1:18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</sheetData>
  <mergeCells count="1">
    <mergeCell ref="A1:R1"/>
  </mergeCells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49"/>
  <sheetViews>
    <sheetView topLeftCell="B1" workbookViewId="0">
      <selection activeCell="F19" sqref="F19"/>
    </sheetView>
  </sheetViews>
  <sheetFormatPr baseColWidth="10" defaultColWidth="9" defaultRowHeight="14"/>
  <cols>
    <col min="1" max="1" width="10" hidden="1" customWidth="1"/>
    <col min="2" max="2" width="16" customWidth="1"/>
    <col min="3" max="3" width="10" customWidth="1"/>
    <col min="4" max="4" width="12.3984375" bestFit="1" customWidth="1"/>
    <col min="5" max="5" width="26" customWidth="1"/>
    <col min="6" max="6" width="42" customWidth="1"/>
    <col min="7" max="8" width="12" customWidth="1"/>
    <col min="9" max="17" width="10" customWidth="1"/>
    <col min="18" max="18" width="42" customWidth="1"/>
  </cols>
  <sheetData>
    <row r="1" spans="1:18" ht="20">
      <c r="A1" s="17" t="s">
        <v>33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3" spans="1:18" ht="42.75" customHeight="1">
      <c r="A3" s="7" t="s">
        <v>18</v>
      </c>
      <c r="B3" s="8" t="s">
        <v>19</v>
      </c>
      <c r="C3" s="8" t="s">
        <v>20</v>
      </c>
      <c r="D3" s="8" t="s">
        <v>21</v>
      </c>
      <c r="E3" s="8" t="s">
        <v>22</v>
      </c>
      <c r="F3" s="8" t="s">
        <v>34</v>
      </c>
      <c r="G3" s="8" t="s">
        <v>35</v>
      </c>
      <c r="H3" s="8" t="s">
        <v>25</v>
      </c>
      <c r="I3" s="8" t="s">
        <v>26</v>
      </c>
      <c r="J3" s="8" t="s">
        <v>27</v>
      </c>
      <c r="K3" s="8" t="s">
        <v>28</v>
      </c>
      <c r="L3" s="8" t="s">
        <v>29</v>
      </c>
      <c r="M3" s="8" t="s">
        <v>30</v>
      </c>
      <c r="N3" s="8" t="s">
        <v>31</v>
      </c>
      <c r="O3" s="8" t="s">
        <v>85</v>
      </c>
      <c r="P3" s="8" t="s">
        <v>98</v>
      </c>
      <c r="Q3" s="8" t="s">
        <v>99</v>
      </c>
      <c r="R3" s="9" t="s">
        <v>32</v>
      </c>
    </row>
    <row r="4" spans="1:18" ht="48" customHeight="1">
      <c r="A4" s="10">
        <v>2026</v>
      </c>
      <c r="B4" s="3" t="s">
        <v>59</v>
      </c>
      <c r="C4" s="4" t="s">
        <v>115</v>
      </c>
      <c r="D4" s="15">
        <f t="shared" ref="D4:D10" si="0">DATE(2026,6,12)</f>
        <v>46185</v>
      </c>
      <c r="E4" s="4" t="s">
        <v>54</v>
      </c>
      <c r="F4" s="4" t="s">
        <v>121</v>
      </c>
      <c r="G4" s="4" t="s">
        <v>53</v>
      </c>
      <c r="H4" s="4" t="s">
        <v>43</v>
      </c>
      <c r="I4" s="4">
        <v>8</v>
      </c>
      <c r="J4" s="4">
        <v>4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f t="shared" ref="P4:P10" si="1">I4-O4</f>
        <v>8</v>
      </c>
      <c r="Q4" s="6"/>
      <c r="R4" s="4" t="s">
        <v>116</v>
      </c>
    </row>
    <row r="5" spans="1:18" ht="48" customHeight="1">
      <c r="A5" s="10">
        <v>2026</v>
      </c>
      <c r="B5" s="3" t="s">
        <v>59</v>
      </c>
      <c r="C5" s="4" t="s">
        <v>115</v>
      </c>
      <c r="D5" s="15">
        <f t="shared" si="0"/>
        <v>46185</v>
      </c>
      <c r="E5" s="4" t="s">
        <v>54</v>
      </c>
      <c r="F5" s="4" t="s">
        <v>122</v>
      </c>
      <c r="G5" s="4" t="s">
        <v>55</v>
      </c>
      <c r="H5" s="4" t="s">
        <v>40</v>
      </c>
      <c r="I5" s="4">
        <v>1</v>
      </c>
      <c r="J5" s="4">
        <v>1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f t="shared" si="1"/>
        <v>1</v>
      </c>
      <c r="Q5" s="6"/>
      <c r="R5" s="4" t="s">
        <v>116</v>
      </c>
    </row>
    <row r="6" spans="1:18" ht="48" customHeight="1">
      <c r="A6" s="10">
        <v>2026</v>
      </c>
      <c r="B6" s="3" t="s">
        <v>59</v>
      </c>
      <c r="C6" s="4" t="s">
        <v>115</v>
      </c>
      <c r="D6" s="15">
        <f t="shared" si="0"/>
        <v>46185</v>
      </c>
      <c r="E6" s="4" t="s">
        <v>51</v>
      </c>
      <c r="F6" s="4" t="s">
        <v>52</v>
      </c>
      <c r="G6" s="4" t="s">
        <v>53</v>
      </c>
      <c r="H6" s="4" t="s">
        <v>43</v>
      </c>
      <c r="I6" s="4">
        <v>3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f t="shared" si="1"/>
        <v>3</v>
      </c>
      <c r="Q6" s="6"/>
      <c r="R6" s="4" t="s">
        <v>116</v>
      </c>
    </row>
    <row r="7" spans="1:18" ht="48" customHeight="1">
      <c r="A7" s="10">
        <v>2026</v>
      </c>
      <c r="B7" s="3" t="s">
        <v>59</v>
      </c>
      <c r="C7" s="4" t="s">
        <v>115</v>
      </c>
      <c r="D7" s="15">
        <f t="shared" si="0"/>
        <v>46185</v>
      </c>
      <c r="E7" s="4" t="s">
        <v>54</v>
      </c>
      <c r="F7" s="4" t="s">
        <v>123</v>
      </c>
      <c r="G7" s="4" t="s">
        <v>53</v>
      </c>
      <c r="H7" s="4" t="s">
        <v>40</v>
      </c>
      <c r="I7" s="4">
        <v>1</v>
      </c>
      <c r="J7" s="4">
        <v>1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f t="shared" si="1"/>
        <v>1</v>
      </c>
      <c r="Q7" s="6"/>
      <c r="R7" s="4" t="s">
        <v>116</v>
      </c>
    </row>
    <row r="8" spans="1:18" ht="28">
      <c r="A8" s="10">
        <v>2026</v>
      </c>
      <c r="B8" s="3" t="s">
        <v>59</v>
      </c>
      <c r="C8" s="4" t="s">
        <v>115</v>
      </c>
      <c r="D8" s="15">
        <f t="shared" si="0"/>
        <v>46185</v>
      </c>
      <c r="E8" s="4" t="s">
        <v>51</v>
      </c>
      <c r="F8" s="4" t="s">
        <v>102</v>
      </c>
      <c r="G8" s="4" t="s">
        <v>53</v>
      </c>
      <c r="H8" s="4" t="s">
        <v>43</v>
      </c>
      <c r="I8" s="4">
        <v>2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f t="shared" si="1"/>
        <v>2</v>
      </c>
      <c r="Q8" s="6"/>
      <c r="R8" s="4" t="s">
        <v>116</v>
      </c>
    </row>
    <row r="9" spans="1:18" ht="28">
      <c r="A9" s="10">
        <v>2026</v>
      </c>
      <c r="B9" s="3" t="s">
        <v>59</v>
      </c>
      <c r="C9" s="4" t="s">
        <v>115</v>
      </c>
      <c r="D9" s="15">
        <f t="shared" si="0"/>
        <v>46185</v>
      </c>
      <c r="E9" s="4" t="s">
        <v>54</v>
      </c>
      <c r="F9" s="4" t="s">
        <v>124</v>
      </c>
      <c r="G9" s="4" t="s">
        <v>53</v>
      </c>
      <c r="H9" s="4" t="s">
        <v>43</v>
      </c>
      <c r="I9" s="4">
        <v>2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f t="shared" si="1"/>
        <v>2</v>
      </c>
      <c r="Q9" s="6"/>
      <c r="R9" s="4" t="s">
        <v>116</v>
      </c>
    </row>
    <row r="10" spans="1:18" ht="28">
      <c r="A10" s="10">
        <v>2026</v>
      </c>
      <c r="B10" s="3" t="s">
        <v>59</v>
      </c>
      <c r="C10" s="4" t="s">
        <v>115</v>
      </c>
      <c r="D10" s="15">
        <f t="shared" si="0"/>
        <v>46185</v>
      </c>
      <c r="E10" s="4" t="s">
        <v>54</v>
      </c>
      <c r="F10" s="4" t="s">
        <v>121</v>
      </c>
      <c r="G10" s="4" t="s">
        <v>55</v>
      </c>
      <c r="H10" s="4" t="s">
        <v>43</v>
      </c>
      <c r="I10" s="4">
        <v>1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f t="shared" si="1"/>
        <v>1</v>
      </c>
      <c r="Q10" s="6"/>
      <c r="R10" s="4" t="s">
        <v>116</v>
      </c>
    </row>
    <row r="11" spans="1:18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1:18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1:18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1:18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spans="1:18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spans="1:1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1:18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1:18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spans="1:18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spans="1:18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spans="1:18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spans="1:18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spans="1:18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spans="1:18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spans="1:18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spans="1:1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spans="1:18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spans="1:18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spans="1:18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spans="1:18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spans="1:18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spans="1:18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spans="1:18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spans="1:18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spans="1:18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spans="1:1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spans="1:18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</sheetData>
  <mergeCells count="1">
    <mergeCell ref="A1:R1"/>
  </mergeCells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49"/>
  <sheetViews>
    <sheetView tabSelected="1" workbookViewId="0">
      <selection activeCell="H13" sqref="H13"/>
    </sheetView>
  </sheetViews>
  <sheetFormatPr baseColWidth="10" defaultColWidth="9" defaultRowHeight="14"/>
  <cols>
    <col min="1" max="1" width="10" customWidth="1"/>
    <col min="2" max="2" width="16" customWidth="1"/>
    <col min="3" max="3" width="10" customWidth="1"/>
    <col min="4" max="4" width="14" customWidth="1"/>
    <col min="5" max="5" width="34" customWidth="1"/>
    <col min="6" max="6" width="12" customWidth="1"/>
    <col min="7" max="15" width="10" customWidth="1"/>
    <col min="16" max="16" width="69.19921875" customWidth="1"/>
  </cols>
  <sheetData>
    <row r="1" spans="1:16" ht="20">
      <c r="A1" s="21" t="s">
        <v>36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</row>
    <row r="3" spans="1:16" ht="42.75" customHeight="1">
      <c r="A3" s="7" t="s">
        <v>18</v>
      </c>
      <c r="B3" s="8" t="s">
        <v>19</v>
      </c>
      <c r="C3" s="8" t="s">
        <v>20</v>
      </c>
      <c r="D3" s="8" t="s">
        <v>21</v>
      </c>
      <c r="E3" s="8" t="s">
        <v>37</v>
      </c>
      <c r="F3" s="8" t="s">
        <v>24</v>
      </c>
      <c r="G3" s="8" t="s">
        <v>26</v>
      </c>
      <c r="H3" s="8" t="s">
        <v>27</v>
      </c>
      <c r="I3" s="8" t="s">
        <v>28</v>
      </c>
      <c r="J3" s="8" t="s">
        <v>29</v>
      </c>
      <c r="K3" s="8" t="s">
        <v>30</v>
      </c>
      <c r="L3" s="8" t="s">
        <v>31</v>
      </c>
      <c r="M3" s="8" t="s">
        <v>85</v>
      </c>
      <c r="N3" s="8" t="s">
        <v>98</v>
      </c>
      <c r="O3" s="8" t="s">
        <v>99</v>
      </c>
      <c r="P3" s="9" t="s">
        <v>32</v>
      </c>
    </row>
    <row r="4" spans="1:16" ht="48" customHeight="1">
      <c r="A4" s="10">
        <v>2026</v>
      </c>
      <c r="B4" s="4" t="s">
        <v>38</v>
      </c>
      <c r="C4" s="4" t="s">
        <v>115</v>
      </c>
      <c r="D4" s="14">
        <f>DATE(2026,6,12)</f>
        <v>46185</v>
      </c>
      <c r="E4" s="4" t="s">
        <v>56</v>
      </c>
      <c r="F4" s="4" t="s">
        <v>41</v>
      </c>
      <c r="G4" s="4">
        <v>4</v>
      </c>
      <c r="H4" s="4">
        <v>1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f>G4-M4</f>
        <v>4</v>
      </c>
      <c r="O4" s="6"/>
      <c r="P4" s="4" t="s">
        <v>116</v>
      </c>
    </row>
    <row r="5" spans="1:16" ht="48" customHeight="1">
      <c r="A5" s="10">
        <v>2026</v>
      </c>
      <c r="B5" s="4" t="s">
        <v>38</v>
      </c>
      <c r="C5" s="4" t="s">
        <v>115</v>
      </c>
      <c r="D5" s="14">
        <f>DATE(2026,6,12)</f>
        <v>46185</v>
      </c>
      <c r="E5" s="4" t="s">
        <v>57</v>
      </c>
      <c r="F5" s="4" t="s">
        <v>39</v>
      </c>
      <c r="G5" s="4">
        <v>3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f>G5-M5</f>
        <v>3</v>
      </c>
      <c r="O5" s="6"/>
      <c r="P5" s="4" t="s">
        <v>116</v>
      </c>
    </row>
    <row r="6" spans="1:16" ht="48" customHeight="1">
      <c r="A6" s="10">
        <v>2026</v>
      </c>
      <c r="B6" s="4" t="s">
        <v>38</v>
      </c>
      <c r="C6" s="4" t="s">
        <v>115</v>
      </c>
      <c r="D6" s="14">
        <f>DATE(2026,6,12)</f>
        <v>46185</v>
      </c>
      <c r="E6" s="4" t="s">
        <v>58</v>
      </c>
      <c r="F6" s="4" t="s">
        <v>41</v>
      </c>
      <c r="G6" s="4">
        <v>2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f>G6-M6</f>
        <v>2</v>
      </c>
      <c r="O6" s="6"/>
      <c r="P6" s="4" t="s">
        <v>116</v>
      </c>
    </row>
    <row r="7" spans="1:16" ht="48" customHeight="1">
      <c r="A7" s="10">
        <v>2026</v>
      </c>
      <c r="B7" s="4" t="s">
        <v>38</v>
      </c>
      <c r="C7" s="4" t="s">
        <v>115</v>
      </c>
      <c r="D7" s="14">
        <f>DATE(2026,6,12)</f>
        <v>46185</v>
      </c>
      <c r="E7" s="4" t="s">
        <v>45</v>
      </c>
      <c r="F7" s="4" t="s">
        <v>45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f>G7-M7</f>
        <v>0</v>
      </c>
      <c r="O7" s="6"/>
      <c r="P7" s="4" t="s">
        <v>116</v>
      </c>
    </row>
    <row r="8" spans="1:16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spans="1:16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</row>
    <row r="10" spans="1:16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1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</sheetData>
  <mergeCells count="1">
    <mergeCell ref="A1:P1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Claude Log</vt:lpstr>
      <vt:lpstr>📖 使用说明</vt:lpstr>
      <vt:lpstr>【学部】周报月报</vt:lpstr>
      <vt:lpstr>【大学院】周报月报</vt:lpstr>
      <vt:lpstr>【SolBridge】周报月报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조이</cp:lastModifiedBy>
  <dcterms:modified xsi:type="dcterms:W3CDTF">2026-06-12T07:18:38Z</dcterms:modified>
</cp:coreProperties>
</file>